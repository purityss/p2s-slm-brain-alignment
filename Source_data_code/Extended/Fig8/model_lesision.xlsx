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Research\01 Speech_Comprehension\01 Data_results\"/>
    </mc:Choice>
  </mc:AlternateContent>
  <xr:revisionPtr revIDLastSave="0" documentId="13_ncr:1_{27F92BFB-AFB9-46CC-ACB4-6BFF35D9A507}" xr6:coauthVersionLast="47" xr6:coauthVersionMax="47" xr10:uidLastSave="{00000000-0000-0000-0000-000000000000}"/>
  <bookViews>
    <workbookView xWindow="3990" yWindow="2835" windowWidth="28800" windowHeight="1543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J3" i="1"/>
  <c r="J4" i="1"/>
  <c r="J5" i="1"/>
  <c r="J6" i="1"/>
  <c r="J7" i="1"/>
  <c r="J8" i="1"/>
  <c r="J9" i="1"/>
  <c r="J10" i="1"/>
  <c r="J11" i="1"/>
  <c r="J12" i="1"/>
  <c r="J13" i="1"/>
  <c r="I3" i="1"/>
  <c r="I4" i="1"/>
  <c r="I5" i="1"/>
  <c r="I6" i="1"/>
  <c r="I7" i="1"/>
  <c r="I8" i="1"/>
  <c r="I9" i="1"/>
  <c r="I10" i="1"/>
  <c r="I11" i="1"/>
  <c r="I12" i="1"/>
  <c r="I13" i="1"/>
  <c r="I2" i="1"/>
  <c r="J2" i="1"/>
  <c r="K2" i="1"/>
  <c r="H3" i="1"/>
  <c r="H4" i="1"/>
  <c r="H6" i="1"/>
  <c r="H8" i="1"/>
  <c r="H9" i="1"/>
  <c r="H10" i="1"/>
  <c r="H13" i="1"/>
  <c r="H2" i="1"/>
</calcChain>
</file>

<file path=xl/sharedStrings.xml><?xml version="1.0" encoding="utf-8"?>
<sst xmlns="http://schemas.openxmlformats.org/spreadsheetml/2006/main" count="37" uniqueCount="20">
  <si>
    <t>Model</t>
  </si>
  <si>
    <t>xlsr</t>
  </si>
  <si>
    <t>whisper</t>
  </si>
  <si>
    <t>llasm</t>
  </si>
  <si>
    <t>salmonn</t>
  </si>
  <si>
    <t>qwen-audio</t>
  </si>
  <si>
    <t>qwen-audio-chat</t>
  </si>
  <si>
    <t>qwen2-audio</t>
  </si>
  <si>
    <t>qwen2-audio-instruct</t>
  </si>
  <si>
    <t>glm4voice</t>
  </si>
  <si>
    <t>freezeomni</t>
  </si>
  <si>
    <t>minicpm</t>
  </si>
  <si>
    <t>qwen2.5-omni</t>
  </si>
  <si>
    <t>baseline</t>
    <phoneticPr fontId="1" type="noConversion"/>
  </si>
  <si>
    <t>pho lesion</t>
    <phoneticPr fontId="1" type="noConversion"/>
  </si>
  <si>
    <t>sem lesion</t>
    <phoneticPr fontId="1" type="noConversion"/>
  </si>
  <si>
    <t>p2s lesion</t>
    <phoneticPr fontId="1" type="noConversion"/>
  </si>
  <si>
    <t>num</t>
    <phoneticPr fontId="1" type="noConversion"/>
  </si>
  <si>
    <t>CER</t>
    <phoneticPr fontId="1" type="noConversion"/>
  </si>
  <si>
    <t>performance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</si>
</sst>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1" zoomScale="145" zoomScaleNormal="145" workbookViewId="0">
      <selection activeCell="I19" sqref="I19"/>
    </sheetView>
  </sheetViews>
  <sheetFormatPr defaultRowHeight="14.25" x14ac:dyDescent="0.2"/>
  <cols>
    <col min="1" max="1" width="20.125" customWidth="1"/>
    <col min="3" max="3" width="9.875" customWidth="1"/>
    <col min="5" max="5" width="9.5" customWidth="1"/>
    <col min="6" max="6" width="19.875" customWidth="1"/>
  </cols>
  <sheetData>
    <row r="1" spans="1:11" x14ac:dyDescent="0.2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1" t="s">
        <v>0</v>
      </c>
      <c r="G1" s="2" t="s">
        <v>17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2">
      <c r="A2" s="2" t="s">
        <v>1</v>
      </c>
      <c r="B2" s="2">
        <v>0.23845851422751799</v>
      </c>
      <c r="C2" s="2">
        <v>0.238779657133563</v>
      </c>
      <c r="D2" s="2">
        <v>0.238820327861297</v>
      </c>
      <c r="E2" s="2">
        <v>0.23864794530602401</v>
      </c>
      <c r="F2" s="2" t="s">
        <v>1</v>
      </c>
      <c r="G2" s="2">
        <v>9</v>
      </c>
      <c r="H2" s="4">
        <f>(1-B2)*100</f>
        <v>76.154148577248208</v>
      </c>
      <c r="I2" s="4">
        <f t="shared" ref="I2:K13" si="0">(1-C2)*100</f>
        <v>76.122034286643697</v>
      </c>
      <c r="J2" s="4">
        <f t="shared" si="0"/>
        <v>76.117967213870301</v>
      </c>
      <c r="K2" s="4">
        <f t="shared" si="0"/>
        <v>76.135205469397604</v>
      </c>
    </row>
    <row r="3" spans="1:11" x14ac:dyDescent="0.2">
      <c r="A3" s="5" t="s">
        <v>2</v>
      </c>
      <c r="B3" s="2">
        <v>0.182856733247547</v>
      </c>
      <c r="C3" s="2">
        <v>0.184030899124796</v>
      </c>
      <c r="D3" s="2">
        <v>0.18401600466191101</v>
      </c>
      <c r="E3" s="2">
        <v>0.185782530544158</v>
      </c>
      <c r="F3" s="2" t="s">
        <v>2</v>
      </c>
      <c r="G3" s="2">
        <v>462</v>
      </c>
      <c r="H3" s="4">
        <f>(1-B3)*100</f>
        <v>81.714326675245303</v>
      </c>
      <c r="I3" s="4">
        <f t="shared" si="0"/>
        <v>81.596910087520399</v>
      </c>
      <c r="J3" s="4">
        <f t="shared" si="0"/>
        <v>81.598399533808902</v>
      </c>
      <c r="K3" s="4">
        <f t="shared" si="0"/>
        <v>81.421746945584189</v>
      </c>
    </row>
    <row r="4" spans="1:11" x14ac:dyDescent="0.2">
      <c r="A4" s="2" t="s">
        <v>3</v>
      </c>
      <c r="B4" s="2">
        <v>0.95157778000000004</v>
      </c>
      <c r="C4" s="2">
        <v>0.95631111000000002</v>
      </c>
      <c r="D4" s="2">
        <v>0.95430415999999996</v>
      </c>
      <c r="E4" s="2">
        <v>0.95245104999999997</v>
      </c>
      <c r="F4" s="2" t="s">
        <v>3</v>
      </c>
      <c r="G4" s="2">
        <v>152</v>
      </c>
      <c r="H4" s="4">
        <f>(1-B4)*100</f>
        <v>4.842221999999996</v>
      </c>
      <c r="I4" s="4">
        <f t="shared" si="0"/>
        <v>4.3688889999999976</v>
      </c>
      <c r="J4" s="4">
        <f t="shared" si="0"/>
        <v>4.5695840000000043</v>
      </c>
      <c r="K4" s="4">
        <f t="shared" si="0"/>
        <v>4.754895000000003</v>
      </c>
    </row>
    <row r="5" spans="1:11" x14ac:dyDescent="0.2">
      <c r="A5" s="5" t="s">
        <v>4</v>
      </c>
      <c r="B5" s="2">
        <v>0.47699183298859399</v>
      </c>
      <c r="C5" s="2">
        <v>0.47672820582059</v>
      </c>
      <c r="D5" s="2">
        <v>0.48538160890404702</v>
      </c>
      <c r="E5" s="2">
        <v>0.508409446977094</v>
      </c>
      <c r="F5" s="2" t="s">
        <v>4</v>
      </c>
      <c r="G5" s="2">
        <v>254</v>
      </c>
      <c r="H5" s="4">
        <v>52.61</v>
      </c>
      <c r="I5" s="4">
        <f t="shared" si="0"/>
        <v>52.327179417941004</v>
      </c>
      <c r="J5" s="4">
        <f t="shared" si="0"/>
        <v>51.461839109595296</v>
      </c>
      <c r="K5" s="4">
        <f t="shared" si="0"/>
        <v>49.159055302290597</v>
      </c>
    </row>
    <row r="6" spans="1:11" x14ac:dyDescent="0.2">
      <c r="A6" s="5" t="s">
        <v>5</v>
      </c>
      <c r="B6" s="2">
        <v>0.15671035975450201</v>
      </c>
      <c r="C6" s="2">
        <v>0.224320842493338</v>
      </c>
      <c r="D6" s="2">
        <v>0.25289142865636299</v>
      </c>
      <c r="E6" s="2">
        <v>0.52774514637398895</v>
      </c>
      <c r="F6" s="2" t="s">
        <v>5</v>
      </c>
      <c r="G6" s="2">
        <v>1265</v>
      </c>
      <c r="H6" s="4">
        <f>(1-B6)*100</f>
        <v>84.328964024549805</v>
      </c>
      <c r="I6" s="4">
        <f t="shared" si="0"/>
        <v>77.567915750666188</v>
      </c>
      <c r="J6" s="4">
        <f t="shared" si="0"/>
        <v>74.710857134363692</v>
      </c>
      <c r="K6" s="4">
        <f t="shared" si="0"/>
        <v>47.225485362601106</v>
      </c>
    </row>
    <row r="7" spans="1:11" x14ac:dyDescent="0.2">
      <c r="A7" s="5" t="s">
        <v>6</v>
      </c>
      <c r="B7" s="2">
        <v>8.7796882931298004E-2</v>
      </c>
      <c r="C7" s="2">
        <v>8.8095010547824801E-2</v>
      </c>
      <c r="D7" s="2">
        <v>9.0477838298929997E-2</v>
      </c>
      <c r="E7" s="2">
        <v>0.12759596208026899</v>
      </c>
      <c r="F7" s="2" t="s">
        <v>6</v>
      </c>
      <c r="G7" s="2">
        <v>620</v>
      </c>
      <c r="H7" s="4">
        <v>91.14</v>
      </c>
      <c r="I7" s="4">
        <f t="shared" si="0"/>
        <v>91.190498945217527</v>
      </c>
      <c r="J7" s="4">
        <f t="shared" si="0"/>
        <v>90.952216170107008</v>
      </c>
      <c r="K7" s="4">
        <f t="shared" si="0"/>
        <v>87.240403791973094</v>
      </c>
    </row>
    <row r="8" spans="1:11" x14ac:dyDescent="0.2">
      <c r="A8" s="5" t="s">
        <v>7</v>
      </c>
      <c r="B8" s="2">
        <v>9.1002651976213794E-2</v>
      </c>
      <c r="C8" s="2">
        <v>0.106338851283881</v>
      </c>
      <c r="D8" s="2">
        <v>0.25694144191128199</v>
      </c>
      <c r="E8" s="2">
        <v>0.392827502937873</v>
      </c>
      <c r="F8" s="2" t="s">
        <v>7</v>
      </c>
      <c r="G8" s="2">
        <v>1767</v>
      </c>
      <c r="H8" s="4">
        <f>(1-B8)*100</f>
        <v>90.899734802378617</v>
      </c>
      <c r="I8" s="4">
        <f t="shared" si="0"/>
        <v>89.366114871611899</v>
      </c>
      <c r="J8" s="4">
        <f t="shared" si="0"/>
        <v>74.305855808871797</v>
      </c>
      <c r="K8" s="4">
        <f t="shared" si="0"/>
        <v>60.717249706212705</v>
      </c>
    </row>
    <row r="9" spans="1:11" x14ac:dyDescent="0.2">
      <c r="A9" s="5" t="s">
        <v>8</v>
      </c>
      <c r="B9" s="2">
        <v>0.101365541878534</v>
      </c>
      <c r="C9" s="2">
        <v>0.13480964695417799</v>
      </c>
      <c r="D9" s="2">
        <v>0.118617232100969</v>
      </c>
      <c r="E9" s="2">
        <v>0.15130368831045701</v>
      </c>
      <c r="F9" s="2" t="s">
        <v>8</v>
      </c>
      <c r="G9" s="2">
        <v>2029</v>
      </c>
      <c r="H9" s="4">
        <f>(1-B9)*100</f>
        <v>89.863445812146608</v>
      </c>
      <c r="I9" s="4">
        <f t="shared" si="0"/>
        <v>86.519035304582204</v>
      </c>
      <c r="J9" s="4">
        <f t="shared" si="0"/>
        <v>88.138276789903102</v>
      </c>
      <c r="K9" s="4">
        <f t="shared" si="0"/>
        <v>84.869631168954299</v>
      </c>
    </row>
    <row r="10" spans="1:11" x14ac:dyDescent="0.2">
      <c r="A10" s="2" t="s">
        <v>9</v>
      </c>
      <c r="B10" s="2">
        <v>0.255051473027749</v>
      </c>
      <c r="C10" s="2">
        <v>0.67454719873157498</v>
      </c>
      <c r="D10" s="2">
        <v>0.25845992634333798</v>
      </c>
      <c r="E10" s="2">
        <v>0.35514042579653499</v>
      </c>
      <c r="F10" s="2" t="s">
        <v>9</v>
      </c>
      <c r="G10" s="2">
        <v>963</v>
      </c>
      <c r="H10" s="4">
        <f>(1-B10)*100</f>
        <v>74.494852697225099</v>
      </c>
      <c r="I10" s="4">
        <f t="shared" si="0"/>
        <v>32.545280126842499</v>
      </c>
      <c r="J10" s="4">
        <f t="shared" si="0"/>
        <v>74.154007365666203</v>
      </c>
      <c r="K10" s="4">
        <f t="shared" si="0"/>
        <v>64.485957420346509</v>
      </c>
    </row>
    <row r="11" spans="1:11" x14ac:dyDescent="0.2">
      <c r="A11" s="2" t="s">
        <v>10</v>
      </c>
      <c r="B11" s="2">
        <v>0.32083724821457799</v>
      </c>
      <c r="C11" s="2">
        <v>0.32047655373877099</v>
      </c>
      <c r="D11" s="2">
        <v>0.23000335182671</v>
      </c>
      <c r="E11" s="2">
        <v>0.28736664954942198</v>
      </c>
      <c r="F11" s="2" t="s">
        <v>10</v>
      </c>
      <c r="G11" s="2">
        <v>920</v>
      </c>
      <c r="H11" s="4">
        <v>68.37</v>
      </c>
      <c r="I11" s="4">
        <f t="shared" si="0"/>
        <v>67.952344626122894</v>
      </c>
      <c r="J11" s="4">
        <f t="shared" si="0"/>
        <v>76.999664817329005</v>
      </c>
      <c r="K11" s="4">
        <f t="shared" si="0"/>
        <v>71.263335045057801</v>
      </c>
    </row>
    <row r="12" spans="1:11" x14ac:dyDescent="0.2">
      <c r="A12" s="2" t="s">
        <v>11</v>
      </c>
      <c r="B12" s="2">
        <v>6.8180661160604505E-2</v>
      </c>
      <c r="C12" s="2">
        <v>7.5732201120593298E-2</v>
      </c>
      <c r="D12" s="2">
        <v>7.1262842420618797E-2</v>
      </c>
      <c r="E12" s="2">
        <v>6.58446665334564E-2</v>
      </c>
      <c r="F12" s="2" t="s">
        <v>11</v>
      </c>
      <c r="G12" s="2">
        <v>695</v>
      </c>
      <c r="H12" s="4">
        <v>93.22</v>
      </c>
      <c r="I12" s="4">
        <f t="shared" si="0"/>
        <v>92.426779887940668</v>
      </c>
      <c r="J12" s="4">
        <f t="shared" si="0"/>
        <v>92.873715757938129</v>
      </c>
      <c r="K12" s="4">
        <f t="shared" si="0"/>
        <v>93.415533346654357</v>
      </c>
    </row>
    <row r="13" spans="1:11" x14ac:dyDescent="0.2">
      <c r="A13" s="2" t="s">
        <v>12</v>
      </c>
      <c r="B13" s="2">
        <v>6.3103907186849995E-2</v>
      </c>
      <c r="C13" s="2">
        <v>6.8882054377637406E-2</v>
      </c>
      <c r="D13" s="2">
        <v>6.5503613477523301E-2</v>
      </c>
      <c r="E13" s="2">
        <v>6.7510920605221902E-2</v>
      </c>
      <c r="F13" s="2" t="s">
        <v>12</v>
      </c>
      <c r="G13" s="2">
        <v>975</v>
      </c>
      <c r="H13" s="4">
        <f>(1-B13)*100</f>
        <v>93.689609281315001</v>
      </c>
      <c r="I13" s="4">
        <f t="shared" si="0"/>
        <v>93.111794562236256</v>
      </c>
      <c r="J13" s="4">
        <f t="shared" si="0"/>
        <v>93.449638652247671</v>
      </c>
      <c r="K13" s="4">
        <f t="shared" si="0"/>
        <v>93.248907939477803</v>
      </c>
    </row>
    <row r="15" spans="1:11" x14ac:dyDescent="0.2">
      <c r="B15" s="6" t="s">
        <v>18</v>
      </c>
      <c r="C15" s="6"/>
      <c r="D15" s="6"/>
      <c r="E15" s="6"/>
      <c r="F15" s="3"/>
      <c r="H15" s="7" t="s">
        <v>19</v>
      </c>
      <c r="I15" s="7"/>
      <c r="J15" s="7"/>
      <c r="K15" s="7"/>
    </row>
  </sheetData>
  <mergeCells count="2">
    <mergeCell ref="B15:E15"/>
    <mergeCell ref="H15:K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91CE-AA25-4E3C-A14C-326FEF630C1D}">
  <dimension ref="A1:F13"/>
  <sheetViews>
    <sheetView zoomScale="190" zoomScaleNormal="190" workbookViewId="0">
      <selection activeCell="A15" sqref="A15:A16"/>
    </sheetView>
  </sheetViews>
  <sheetFormatPr defaultRowHeight="14.25" x14ac:dyDescent="0.2"/>
  <cols>
    <col min="1" max="1" width="17.875" customWidth="1"/>
  </cols>
  <sheetData>
    <row r="1" spans="1:6" x14ac:dyDescent="0.2">
      <c r="A1" s="1"/>
      <c r="B1" s="2"/>
      <c r="C1" s="2"/>
      <c r="D1" s="2"/>
      <c r="E1" s="2"/>
      <c r="F1" s="2"/>
    </row>
    <row r="2" spans="1:6" x14ac:dyDescent="0.2">
      <c r="A2" s="2"/>
      <c r="B2" s="2"/>
      <c r="C2" s="4"/>
      <c r="D2" s="4"/>
      <c r="E2" s="4"/>
      <c r="F2" s="4"/>
    </row>
    <row r="3" spans="1:6" x14ac:dyDescent="0.2">
      <c r="A3" s="2"/>
      <c r="B3" s="2"/>
      <c r="C3" s="4"/>
      <c r="D3" s="4"/>
      <c r="E3" s="4"/>
      <c r="F3" s="4"/>
    </row>
    <row r="4" spans="1:6" x14ac:dyDescent="0.2">
      <c r="A4" s="2"/>
      <c r="B4" s="2"/>
      <c r="C4" s="4"/>
      <c r="D4" s="4"/>
      <c r="E4" s="4"/>
      <c r="F4" s="4"/>
    </row>
    <row r="5" spans="1:6" x14ac:dyDescent="0.2">
      <c r="A5" s="2"/>
      <c r="B5" s="2"/>
      <c r="C5" s="4"/>
      <c r="D5" s="4"/>
      <c r="E5" s="4"/>
      <c r="F5" s="4"/>
    </row>
    <row r="6" spans="1:6" x14ac:dyDescent="0.2">
      <c r="A6" s="2"/>
      <c r="B6" s="2"/>
      <c r="C6" s="4"/>
      <c r="D6" s="4"/>
      <c r="E6" s="4"/>
      <c r="F6" s="4"/>
    </row>
    <row r="7" spans="1:6" x14ac:dyDescent="0.2">
      <c r="A7" s="2"/>
      <c r="B7" s="2"/>
      <c r="C7" s="4"/>
      <c r="D7" s="4"/>
      <c r="E7" s="4"/>
      <c r="F7" s="4"/>
    </row>
    <row r="8" spans="1:6" x14ac:dyDescent="0.2">
      <c r="A8" s="2"/>
      <c r="B8" s="2"/>
      <c r="C8" s="4"/>
      <c r="D8" s="4"/>
      <c r="E8" s="4"/>
      <c r="F8" s="4"/>
    </row>
    <row r="9" spans="1:6" x14ac:dyDescent="0.2">
      <c r="A9" s="2"/>
      <c r="B9" s="2"/>
      <c r="C9" s="4"/>
      <c r="D9" s="4"/>
      <c r="E9" s="4"/>
      <c r="F9" s="4"/>
    </row>
    <row r="10" spans="1:6" x14ac:dyDescent="0.2">
      <c r="A10" s="2"/>
      <c r="B10" s="2"/>
      <c r="C10" s="4"/>
      <c r="D10" s="4"/>
      <c r="E10" s="4"/>
      <c r="F10" s="4"/>
    </row>
    <row r="11" spans="1:6" x14ac:dyDescent="0.2">
      <c r="A11" s="2"/>
      <c r="B11" s="2"/>
      <c r="C11" s="4"/>
      <c r="D11" s="4"/>
      <c r="E11" s="4"/>
      <c r="F11" s="4"/>
    </row>
    <row r="12" spans="1:6" x14ac:dyDescent="0.2">
      <c r="A12" s="2"/>
      <c r="B12" s="2"/>
      <c r="C12" s="4"/>
      <c r="D12" s="4"/>
      <c r="E12" s="4"/>
      <c r="F12" s="4"/>
    </row>
    <row r="13" spans="1:6" x14ac:dyDescent="0.2">
      <c r="A13" s="2"/>
      <c r="B13" s="2"/>
      <c r="C13" s="4"/>
      <c r="D13" s="4"/>
      <c r="E13" s="4"/>
      <c r="F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ShenShen Zhang</dc:creator>
  <cp:lastModifiedBy>ShenShen Zhang</cp:lastModifiedBy>
  <dcterms:created xsi:type="dcterms:W3CDTF">2015-06-05T18:19:34Z</dcterms:created>
  <dcterms:modified xsi:type="dcterms:W3CDTF">2026-03-20T13:25:02Z</dcterms:modified>
</cp:coreProperties>
</file>